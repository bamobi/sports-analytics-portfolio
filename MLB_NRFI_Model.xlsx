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Model" sheetId="3" state="visible" r:id="rId5"/>
    <sheet name="Parla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<sst xmlns="http://schemas.openxmlformats.org/spreadsheetml/2006/main" count="120" uniqueCount="116">
  <si>
    <t xml:space="preserve">MLB NRFI Betting Model</t>
  </si>
  <si>
    <t xml:space="preserve">No Runs First Inning — Probability &amp; Expected Value Calculator</t>
  </si>
  <si>
    <t xml:space="preserve">Purpose</t>
  </si>
  <si>
    <t xml:space="preserve">Estimate the probability that no runs are scored in the first inning of an MLB game, combine probabilities into a parlay, and compare implied vs. sportsbook odds to identify +EV bets.</t>
  </si>
  <si>
    <t xml:space="preserve">Methodology</t>
  </si>
  <si>
    <t xml:space="preserve">Pitcher 1st-inning scoreless rate is a strong baseline predictor. The model blends (1) starting pitcher 1st-inning NRFI rate, (2) opposing lineup's 1st-inning scoring rate, and (3) ballpark factor. A logistic blend converts these into a single per-game NRFI probability.</t>
  </si>
  <si>
    <t xml:space="preserve">Sheets</t>
  </si>
  <si>
    <t xml:space="preserve">1) README — this sheet</t>
  </si>
  <si>
    <t xml:space="preserve">2) Inputs — pitcher, lineup, and ballpark data (edit BLUE cells)</t>
  </si>
  <si>
    <t xml:space="preserve">3) Model — game-by-game NRFI probability calc</t>
  </si>
  <si>
    <t xml:space="preserve">4) Parlay — combine selected games and compute parlay EV vs. book odds</t>
  </si>
  <si>
    <t xml:space="preserve">Color Key</t>
  </si>
  <si>
    <t xml:space="preserve">BLUE text = user input  |  BLACK text = formula  |  YELLOW fill = key assumption</t>
  </si>
  <si>
    <t xml:space="preserve">Disclaimer</t>
  </si>
  <si>
    <t xml:space="preserve">Educational model only. Past performance does not guarantee future results. Bet responsibly.</t>
  </si>
  <si>
    <t xml:space="preserve">Inputs — Pitcher &amp; Lineup Data</t>
  </si>
  <si>
    <t xml:space="preserve">Global Assumptions</t>
  </si>
  <si>
    <t xml:space="preserve">League-wide 1st inning NRFI rate (2024)</t>
  </si>
  <si>
    <t xml:space="preserve">Source: Baseball Savant / Statcast</t>
  </si>
  <si>
    <t xml:space="preserve">Weight: Starting Pitcher</t>
  </si>
  <si>
    <t xml:space="preserve">Sum of weights must = 100%</t>
  </si>
  <si>
    <t xml:space="preserve">Weight: Opposing Lineup</t>
  </si>
  <si>
    <t xml:space="preserve">Weight: Ballpark Factor</t>
  </si>
  <si>
    <t xml:space="preserve">Weight check (must = 100%)</t>
  </si>
  <si>
    <t xml:space="preserve">Today's Game Slate — Edit BLUE cells with current data</t>
  </si>
  <si>
    <t xml:space="preserve">Game #</t>
  </si>
  <si>
    <t xml:space="preserve">Away Team</t>
  </si>
  <si>
    <t xml:space="preserve">Home Team</t>
  </si>
  <si>
    <t xml:space="preserve">Away SP</t>
  </si>
  <si>
    <t xml:space="preserve">Away SP 1st Inn NRFI %</t>
  </si>
  <si>
    <t xml:space="preserve">Home SP</t>
  </si>
  <si>
    <t xml:space="preserve">Home SP 1st Inn NRFI %</t>
  </si>
  <si>
    <t xml:space="preserve">Away Team 1st Inn Score %</t>
  </si>
  <si>
    <t xml:space="preserve">Home Team 1st Inn Score %</t>
  </si>
  <si>
    <t xml:space="preserve">Ballpark</t>
  </si>
  <si>
    <t xml:space="preserve">Park 1st Inn Run Factor</t>
  </si>
  <si>
    <t xml:space="preserve">NYY</t>
  </si>
  <si>
    <t xml:space="preserve">BOS</t>
  </si>
  <si>
    <t xml:space="preserve">Cole</t>
  </si>
  <si>
    <t xml:space="preserve">Crochet</t>
  </si>
  <si>
    <t xml:space="preserve">Fenway Park</t>
  </si>
  <si>
    <t xml:space="preserve">LAD</t>
  </si>
  <si>
    <t xml:space="preserve">SF</t>
  </si>
  <si>
    <t xml:space="preserve">Yamamoto</t>
  </si>
  <si>
    <t xml:space="preserve">Webb</t>
  </si>
  <si>
    <t xml:space="preserve">Oracle Park</t>
  </si>
  <si>
    <t xml:space="preserve">HOU</t>
  </si>
  <si>
    <t xml:space="preserve">TEX</t>
  </si>
  <si>
    <t xml:space="preserve">Valdez</t>
  </si>
  <si>
    <t xml:space="preserve">deGrom</t>
  </si>
  <si>
    <t xml:space="preserve">Globe Life Field</t>
  </si>
  <si>
    <t xml:space="preserve">PHI</t>
  </si>
  <si>
    <t xml:space="preserve">ATL</t>
  </si>
  <si>
    <t xml:space="preserve">Wheeler</t>
  </si>
  <si>
    <t xml:space="preserve">Sale</t>
  </si>
  <si>
    <t xml:space="preserve">Truist Park</t>
  </si>
  <si>
    <t xml:space="preserve">MIL</t>
  </si>
  <si>
    <t xml:space="preserve">CHC</t>
  </si>
  <si>
    <t xml:space="preserve">Peralta</t>
  </si>
  <si>
    <t xml:space="preserve">Imanaga</t>
  </si>
  <si>
    <t xml:space="preserve">Wrigley Field</t>
  </si>
  <si>
    <t xml:space="preserve">SD</t>
  </si>
  <si>
    <t xml:space="preserve">ARI</t>
  </si>
  <si>
    <t xml:space="preserve">King</t>
  </si>
  <si>
    <t xml:space="preserve">Gallen</t>
  </si>
  <si>
    <t xml:space="preserve">Chase Field</t>
  </si>
  <si>
    <t xml:space="preserve">TOR</t>
  </si>
  <si>
    <t xml:space="preserve">BAL</t>
  </si>
  <si>
    <t xml:space="preserve">Gausman</t>
  </si>
  <si>
    <t xml:space="preserve">Burnes</t>
  </si>
  <si>
    <t xml:space="preserve">Camden Yards</t>
  </si>
  <si>
    <t xml:space="preserve">MIN</t>
  </si>
  <si>
    <t xml:space="preserve">CLE</t>
  </si>
  <si>
    <t xml:space="preserve">Lopez</t>
  </si>
  <si>
    <t xml:space="preserve">Bibee</t>
  </si>
  <si>
    <t xml:space="preserve">Progressive Fld</t>
  </si>
  <si>
    <t xml:space="preserve">STL</t>
  </si>
  <si>
    <t xml:space="preserve">CIN</t>
  </si>
  <si>
    <t xml:space="preserve">Gray</t>
  </si>
  <si>
    <t xml:space="preserve">Greene</t>
  </si>
  <si>
    <t xml:space="preserve">Great Amer BP</t>
  </si>
  <si>
    <t xml:space="preserve">OAK</t>
  </si>
  <si>
    <t xml:space="preserve">SEA</t>
  </si>
  <si>
    <t xml:space="preserve">Sears</t>
  </si>
  <si>
    <t xml:space="preserve">Castillo</t>
  </si>
  <si>
    <t xml:space="preserve">T-Mobile Park</t>
  </si>
  <si>
    <t xml:space="preserve">Model — Per-Game NRFI Probability</t>
  </si>
  <si>
    <t xml:space="preserve">Formula: P(NRFI) = w_SP * AVG(both SPs NRFI%) + w_Lineup * (1 - AVG(both lineups 1st inn score%)) + w_Park * (League NRFI% / Park Factor)</t>
  </si>
  <si>
    <t xml:space="preserve">Game</t>
  </si>
  <si>
    <t xml:space="preserve">Away</t>
  </si>
  <si>
    <t xml:space="preserve">Home</t>
  </si>
  <si>
    <t xml:space="preserve">SP Component</t>
  </si>
  <si>
    <t xml:space="preserve">Lineup Component</t>
  </si>
  <si>
    <t xml:space="preserve">Park Component</t>
  </si>
  <si>
    <t xml:space="preserve">Model P(NRFI)</t>
  </si>
  <si>
    <t xml:space="preserve">Implied Odds</t>
  </si>
  <si>
    <t xml:space="preserve">Book Odds (Amer.)</t>
  </si>
  <si>
    <t xml:space="preserve">Book Implied %</t>
  </si>
  <si>
    <t xml:space="preserve">Edge</t>
  </si>
  <si>
    <t xml:space="preserve">Bet?</t>
  </si>
  <si>
    <t xml:space="preserve">NRFI Parlay Calculator</t>
  </si>
  <si>
    <t xml:space="preserve">Select games for the parlay (set Include = 1). Model assumes independence.</t>
  </si>
  <si>
    <t xml:space="preserve">Matchup</t>
  </si>
  <si>
    <t xml:space="preserve">Book Odds</t>
  </si>
  <si>
    <t xml:space="preserve">Include (1/0)</t>
  </si>
  <si>
    <t xml:space="preserve">Prob factor</t>
  </si>
  <si>
    <t xml:space="preserve">Odds factor</t>
  </si>
  <si>
    <t xml:space="preserve">Parlay Summary</t>
  </si>
  <si>
    <t xml:space="preserve">Legs included</t>
  </si>
  <si>
    <t xml:space="preserve">Model parlay probability</t>
  </si>
  <si>
    <t xml:space="preserve">Book decimal odds (product)</t>
  </si>
  <si>
    <t xml:space="preserve">Stake ($)</t>
  </si>
  <si>
    <t xml:space="preserve">Potential payout</t>
  </si>
  <si>
    <t xml:space="preserve">Expected value ($)</t>
  </si>
  <si>
    <t xml:space="preserve">ROI %</t>
  </si>
  <si>
    <t xml:space="preserve">Note: Independence assumption likely overstates parlay probability slightly (correlated weather, umpire, etc.). Use as upper bound.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</si>
</sst>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.00"/>
    <numFmt numFmtId="167" formatCode="\+#,##0;\-#,##0"/>
    <numFmt numFmtId="168" formatCode="0.0000"/>
    <numFmt numFmtId="169" formatCode="General"/>
    <numFmt numFmtId="170" formatCode="0.00%"/>
    <numFmt numFmtId="171" formatCode="\$#,##0"/>
    <numFmt numFmtId="172" formatCode="\$#,##0.00"/>
    <numFmt numFmtId="173" formatCode="\$#,##0.00;[RED]&quot;($&quot;#,##0.00\)"/>
    <numFmt numFmtId="174" formatCode="0.0%;[RED]\(0.0%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3.5" hidden="false" customHeight="true" outlineLevel="0" collapsed="false">
      <c r="B5" s="3"/>
      <c r="C5" s="4"/>
    </row>
    <row r="6" customFormat="false" ht="31.5" hidden="false" customHeight="true" outlineLevel="0" collapsed="false">
      <c r="B6" s="3" t="s">
        <v>2</v>
      </c>
      <c r="C6" s="4" t="s">
        <v>3</v>
      </c>
    </row>
    <row r="7" customFormat="false" ht="31.5" hidden="false" customHeight="true" outlineLevel="0" collapsed="false">
      <c r="B7" s="3" t="s">
        <v>4</v>
      </c>
      <c r="C7" s="4" t="s">
        <v>5</v>
      </c>
    </row>
    <row r="8" customFormat="false" ht="31.5" hidden="false" customHeight="true" outlineLevel="0" collapsed="false">
      <c r="B8" s="3" t="s">
        <v>6</v>
      </c>
      <c r="C8" s="4" t="s">
        <v>7</v>
      </c>
    </row>
    <row r="9" customFormat="false" ht="31.5" hidden="false" customHeight="true" outlineLevel="0" collapsed="false">
      <c r="B9" s="3"/>
      <c r="C9" s="4" t="s">
        <v>8</v>
      </c>
    </row>
    <row r="10" customFormat="false" ht="31.5" hidden="false" customHeight="true" outlineLevel="0" collapsed="false">
      <c r="B10" s="3"/>
      <c r="C10" s="4" t="s">
        <v>9</v>
      </c>
    </row>
    <row r="11" customFormat="false" ht="31.5" hidden="false" customHeight="true" outlineLevel="0" collapsed="false">
      <c r="B11" s="3"/>
      <c r="C11" s="4" t="s">
        <v>10</v>
      </c>
    </row>
    <row r="12" customFormat="false" ht="31.5" hidden="false" customHeight="true" outlineLevel="0" collapsed="false">
      <c r="B12" s="3" t="s">
        <v>11</v>
      </c>
      <c r="C12" s="4" t="s">
        <v>12</v>
      </c>
    </row>
    <row r="13" customFormat="false" ht="31.5" hidden="false" customHeight="true" outlineLevel="0" collapsed="false">
      <c r="B13" s="3" t="s">
        <v>13</v>
      </c>
      <c r="C13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10" min="8" style="0" width="22"/>
    <col collapsed="false" customWidth="true" hidden="false" outlineLevel="0" max="11" min="11" style="0" width="20"/>
    <col collapsed="false" customWidth="true" hidden="false" outlineLevel="0" max="12" min="12" style="0" width="18"/>
  </cols>
  <sheetData>
    <row r="2" customFormat="false" ht="17.35" hidden="false" customHeight="false" outlineLevel="0" collapsed="false">
      <c r="B2" s="1" t="s">
        <v>15</v>
      </c>
    </row>
    <row r="4" customFormat="false" ht="15" hidden="false" customHeight="false" outlineLevel="0" collapsed="false">
      <c r="B4" s="5" t="s">
        <v>16</v>
      </c>
    </row>
    <row r="5" customFormat="false" ht="15" hidden="false" customHeight="false" outlineLevel="0" collapsed="false">
      <c r="B5" s="6" t="s">
        <v>17</v>
      </c>
      <c r="C5" s="7" t="n">
        <v>0.585</v>
      </c>
      <c r="D5" s="8" t="s">
        <v>18</v>
      </c>
    </row>
    <row r="6" customFormat="false" ht="15" hidden="false" customHeight="false" outlineLevel="0" collapsed="false">
      <c r="B6" s="6" t="s">
        <v>19</v>
      </c>
      <c r="C6" s="7" t="n">
        <v>0.5</v>
      </c>
      <c r="D6" s="8" t="s">
        <v>20</v>
      </c>
    </row>
    <row r="7" customFormat="false" ht="15" hidden="false" customHeight="false" outlineLevel="0" collapsed="false">
      <c r="B7" s="6" t="s">
        <v>21</v>
      </c>
      <c r="C7" s="7" t="n">
        <v>0.35</v>
      </c>
      <c r="D7" s="8" t="s">
        <v>20</v>
      </c>
    </row>
    <row r="8" customFormat="false" ht="15" hidden="false" customHeight="false" outlineLevel="0" collapsed="false">
      <c r="B8" s="6" t="s">
        <v>22</v>
      </c>
      <c r="C8" s="7" t="n">
        <v>0.15</v>
      </c>
      <c r="D8" s="8" t="s">
        <v>20</v>
      </c>
    </row>
    <row r="9" customFormat="false" ht="15" hidden="false" customHeight="false" outlineLevel="0" collapsed="false">
      <c r="B9" s="3" t="s">
        <v>23</v>
      </c>
      <c r="C9" s="9" t="n">
        <f aca="false">SUM(C6:C8)</f>
        <v>1</v>
      </c>
    </row>
    <row r="12" customFormat="false" ht="15" hidden="false" customHeight="false" outlineLevel="0" collapsed="false">
      <c r="B12" s="5" t="s">
        <v>24</v>
      </c>
    </row>
    <row r="13" customFormat="false" ht="15" hidden="false" customHeight="false" outlineLevel="0" collapsed="false">
      <c r="B13" s="10" t="s">
        <v>25</v>
      </c>
      <c r="C13" s="10" t="s">
        <v>26</v>
      </c>
      <c r="D13" s="10" t="s">
        <v>27</v>
      </c>
      <c r="E13" s="10" t="s">
        <v>28</v>
      </c>
      <c r="F13" s="10" t="s">
        <v>29</v>
      </c>
      <c r="G13" s="10" t="s">
        <v>30</v>
      </c>
      <c r="H13" s="10" t="s">
        <v>31</v>
      </c>
      <c r="I13" s="10" t="s">
        <v>32</v>
      </c>
      <c r="J13" s="10" t="s">
        <v>33</v>
      </c>
      <c r="K13" s="10" t="s">
        <v>34</v>
      </c>
      <c r="L13" s="10" t="s">
        <v>35</v>
      </c>
    </row>
    <row r="14" customFormat="false" ht="15" hidden="false" customHeight="false" outlineLevel="0" collapsed="false">
      <c r="B14" s="11" t="n">
        <v>1</v>
      </c>
      <c r="C14" s="12" t="s">
        <v>36</v>
      </c>
      <c r="D14" s="12" t="s">
        <v>37</v>
      </c>
      <c r="E14" s="12" t="s">
        <v>38</v>
      </c>
      <c r="F14" s="13" t="n">
        <v>0.72</v>
      </c>
      <c r="G14" s="12" t="s">
        <v>39</v>
      </c>
      <c r="H14" s="13" t="n">
        <v>0.68</v>
      </c>
      <c r="I14" s="13" t="n">
        <v>0.42</v>
      </c>
      <c r="J14" s="13" t="n">
        <v>0.4</v>
      </c>
      <c r="K14" s="12" t="s">
        <v>40</v>
      </c>
      <c r="L14" s="14" t="n">
        <v>1.08</v>
      </c>
    </row>
    <row r="15" customFormat="false" ht="15" hidden="false" customHeight="false" outlineLevel="0" collapsed="false">
      <c r="B15" s="11" t="n">
        <v>2</v>
      </c>
      <c r="C15" s="12" t="s">
        <v>41</v>
      </c>
      <c r="D15" s="12" t="s">
        <v>42</v>
      </c>
      <c r="E15" s="12" t="s">
        <v>43</v>
      </c>
      <c r="F15" s="13" t="n">
        <v>0.71</v>
      </c>
      <c r="G15" s="12" t="s">
        <v>44</v>
      </c>
      <c r="H15" s="13" t="n">
        <v>0.74</v>
      </c>
      <c r="I15" s="13" t="n">
        <v>0.38</v>
      </c>
      <c r="J15" s="13" t="n">
        <v>0.36</v>
      </c>
      <c r="K15" s="12" t="s">
        <v>45</v>
      </c>
      <c r="L15" s="14" t="n">
        <v>0.92</v>
      </c>
    </row>
    <row r="16" customFormat="false" ht="15" hidden="false" customHeight="false" outlineLevel="0" collapsed="false">
      <c r="B16" s="11" t="n">
        <v>3</v>
      </c>
      <c r="C16" s="12" t="s">
        <v>46</v>
      </c>
      <c r="D16" s="12" t="s">
        <v>47</v>
      </c>
      <c r="E16" s="12" t="s">
        <v>48</v>
      </c>
      <c r="F16" s="13" t="n">
        <v>0.69</v>
      </c>
      <c r="G16" s="12" t="s">
        <v>49</v>
      </c>
      <c r="H16" s="13" t="n">
        <v>0.78</v>
      </c>
      <c r="I16" s="13" t="n">
        <v>0.41</v>
      </c>
      <c r="J16" s="13" t="n">
        <v>0.39</v>
      </c>
      <c r="K16" s="12" t="s">
        <v>50</v>
      </c>
      <c r="L16" s="14" t="n">
        <v>1.04</v>
      </c>
    </row>
    <row r="17" customFormat="false" ht="15" hidden="false" customHeight="false" outlineLevel="0" collapsed="false">
      <c r="B17" s="11" t="n">
        <v>4</v>
      </c>
      <c r="C17" s="12" t="s">
        <v>51</v>
      </c>
      <c r="D17" s="12" t="s">
        <v>52</v>
      </c>
      <c r="E17" s="12" t="s">
        <v>53</v>
      </c>
      <c r="F17" s="13" t="n">
        <v>0.75</v>
      </c>
      <c r="G17" s="12" t="s">
        <v>54</v>
      </c>
      <c r="H17" s="13" t="n">
        <v>0.71</v>
      </c>
      <c r="I17" s="13" t="n">
        <v>0.39</v>
      </c>
      <c r="J17" s="13" t="n">
        <v>0.43</v>
      </c>
      <c r="K17" s="12" t="s">
        <v>55</v>
      </c>
      <c r="L17" s="14" t="n">
        <v>1.06</v>
      </c>
    </row>
    <row r="18" customFormat="false" ht="15" hidden="false" customHeight="false" outlineLevel="0" collapsed="false">
      <c r="B18" s="11" t="n">
        <v>5</v>
      </c>
      <c r="C18" s="12" t="s">
        <v>56</v>
      </c>
      <c r="D18" s="12" t="s">
        <v>57</v>
      </c>
      <c r="E18" s="12" t="s">
        <v>58</v>
      </c>
      <c r="F18" s="13" t="n">
        <v>0.65</v>
      </c>
      <c r="G18" s="12" t="s">
        <v>59</v>
      </c>
      <c r="H18" s="13" t="n">
        <v>0.7</v>
      </c>
      <c r="I18" s="13" t="n">
        <v>0.4</v>
      </c>
      <c r="J18" s="13" t="n">
        <v>0.38</v>
      </c>
      <c r="K18" s="12" t="s">
        <v>60</v>
      </c>
      <c r="L18" s="14" t="n">
        <v>1.02</v>
      </c>
    </row>
    <row r="19" customFormat="false" ht="15" hidden="false" customHeight="false" outlineLevel="0" collapsed="false">
      <c r="B19" s="11" t="n">
        <v>6</v>
      </c>
      <c r="C19" s="12" t="s">
        <v>61</v>
      </c>
      <c r="D19" s="12" t="s">
        <v>62</v>
      </c>
      <c r="E19" s="12" t="s">
        <v>63</v>
      </c>
      <c r="F19" s="13" t="n">
        <v>0.68</v>
      </c>
      <c r="G19" s="12" t="s">
        <v>64</v>
      </c>
      <c r="H19" s="13" t="n">
        <v>0.73</v>
      </c>
      <c r="I19" s="13" t="n">
        <v>0.37</v>
      </c>
      <c r="J19" s="13" t="n">
        <v>0.41</v>
      </c>
      <c r="K19" s="12" t="s">
        <v>65</v>
      </c>
      <c r="L19" s="14" t="n">
        <v>1.05</v>
      </c>
    </row>
    <row r="20" customFormat="false" ht="15" hidden="false" customHeight="false" outlineLevel="0" collapsed="false">
      <c r="B20" s="11" t="n">
        <v>7</v>
      </c>
      <c r="C20" s="12" t="s">
        <v>66</v>
      </c>
      <c r="D20" s="12" t="s">
        <v>67</v>
      </c>
      <c r="E20" s="12" t="s">
        <v>68</v>
      </c>
      <c r="F20" s="13" t="n">
        <v>0.66</v>
      </c>
      <c r="G20" s="12" t="s">
        <v>69</v>
      </c>
      <c r="H20" s="13" t="n">
        <v>0.76</v>
      </c>
      <c r="I20" s="13" t="n">
        <v>0.42</v>
      </c>
      <c r="J20" s="13" t="n">
        <v>0.4</v>
      </c>
      <c r="K20" s="12" t="s">
        <v>70</v>
      </c>
      <c r="L20" s="14" t="n">
        <v>1.07</v>
      </c>
    </row>
    <row r="21" customFormat="false" ht="15" hidden="false" customHeight="false" outlineLevel="0" collapsed="false">
      <c r="B21" s="11" t="n">
        <v>8</v>
      </c>
      <c r="C21" s="12" t="s">
        <v>71</v>
      </c>
      <c r="D21" s="12" t="s">
        <v>72</v>
      </c>
      <c r="E21" s="12" t="s">
        <v>73</v>
      </c>
      <c r="F21" s="13" t="n">
        <v>0.7</v>
      </c>
      <c r="G21" s="12" t="s">
        <v>74</v>
      </c>
      <c r="H21" s="13" t="n">
        <v>0.67</v>
      </c>
      <c r="I21" s="13" t="n">
        <v>0.39</v>
      </c>
      <c r="J21" s="13" t="n">
        <v>0.38</v>
      </c>
      <c r="K21" s="12" t="s">
        <v>75</v>
      </c>
      <c r="L21" s="14" t="n">
        <v>0.98</v>
      </c>
    </row>
    <row r="22" customFormat="false" ht="15" hidden="false" customHeight="false" outlineLevel="0" collapsed="false">
      <c r="B22" s="11" t="n">
        <v>9</v>
      </c>
      <c r="C22" s="12" t="s">
        <v>76</v>
      </c>
      <c r="D22" s="12" t="s">
        <v>77</v>
      </c>
      <c r="E22" s="12" t="s">
        <v>78</v>
      </c>
      <c r="F22" s="13" t="n">
        <v>0.69</v>
      </c>
      <c r="G22" s="12" t="s">
        <v>79</v>
      </c>
      <c r="H22" s="13" t="n">
        <v>0.65</v>
      </c>
      <c r="I22" s="13" t="n">
        <v>0.41</v>
      </c>
      <c r="J22" s="13" t="n">
        <v>0.44</v>
      </c>
      <c r="K22" s="12" t="s">
        <v>80</v>
      </c>
      <c r="L22" s="14" t="n">
        <v>1.12</v>
      </c>
    </row>
    <row r="23" customFormat="false" ht="15" hidden="false" customHeight="false" outlineLevel="0" collapsed="false">
      <c r="B23" s="11" t="n">
        <v>10</v>
      </c>
      <c r="C23" s="12" t="s">
        <v>81</v>
      </c>
      <c r="D23" s="12" t="s">
        <v>82</v>
      </c>
      <c r="E23" s="12" t="s">
        <v>83</v>
      </c>
      <c r="F23" s="13" t="n">
        <v>0.6</v>
      </c>
      <c r="G23" s="12" t="s">
        <v>84</v>
      </c>
      <c r="H23" s="13" t="n">
        <v>0.72</v>
      </c>
      <c r="I23" s="13" t="n">
        <v>0.4</v>
      </c>
      <c r="J23" s="13" t="n">
        <v>0.37</v>
      </c>
      <c r="K23" s="12" t="s">
        <v>85</v>
      </c>
      <c r="L23" s="14" t="n">
        <v>0.94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8"/>
  </cols>
  <sheetData>
    <row r="2" customFormat="false" ht="17.35" hidden="false" customHeight="false" outlineLevel="0" collapsed="false">
      <c r="B2" s="1" t="s">
        <v>86</v>
      </c>
    </row>
    <row r="4" customFormat="false" ht="15" hidden="false" customHeight="false" outlineLevel="0" collapsed="false">
      <c r="B4" s="15" t="s">
        <v>87</v>
      </c>
      <c r="C4" s="15"/>
      <c r="D4" s="15"/>
      <c r="E4" s="15"/>
      <c r="F4" s="15"/>
      <c r="G4" s="15"/>
      <c r="H4" s="15"/>
      <c r="I4" s="15"/>
      <c r="J4" s="15"/>
      <c r="K4" s="15"/>
    </row>
    <row r="6" customFormat="false" ht="15" hidden="false" customHeight="false" outlineLevel="0" collapsed="false">
      <c r="B6" s="10" t="s">
        <v>88</v>
      </c>
      <c r="C6" s="10" t="s">
        <v>89</v>
      </c>
      <c r="D6" s="10" t="s">
        <v>90</v>
      </c>
      <c r="E6" s="10" t="s">
        <v>91</v>
      </c>
      <c r="F6" s="10" t="s">
        <v>92</v>
      </c>
      <c r="G6" s="10" t="s">
        <v>93</v>
      </c>
      <c r="H6" s="10" t="s">
        <v>94</v>
      </c>
      <c r="I6" s="10" t="s">
        <v>95</v>
      </c>
      <c r="J6" s="10" t="s">
        <v>96</v>
      </c>
      <c r="K6" s="10" t="s">
        <v>97</v>
      </c>
      <c r="L6" s="10" t="s">
        <v>98</v>
      </c>
      <c r="M6" s="10" t="s">
        <v>99</v>
      </c>
    </row>
    <row r="7" customFormat="false" ht="15" hidden="false" customHeight="false" outlineLevel="0" collapsed="false">
      <c r="B7" s="11" t="n">
        <v>1</v>
      </c>
      <c r="C7" s="11" t="str">
        <f aca="false">Inputs!C14</f>
        <v>NYY</v>
      </c>
      <c r="D7" s="11" t="str">
        <f aca="false">Inputs!D14</f>
        <v>BOS</v>
      </c>
      <c r="E7" s="16" t="n">
        <f aca="false">AVERAGE(Inputs!F14,Inputs!H14)</f>
        <v>0.7</v>
      </c>
      <c r="F7" s="16" t="n">
        <f aca="false">1-AVERAGE(Inputs!I14,Inputs!J14)</f>
        <v>0.59</v>
      </c>
      <c r="G7" s="16" t="n">
        <f aca="false">Inputs!$C$5/Inputs!L14</f>
        <v>0.541666666666667</v>
      </c>
      <c r="H7" s="16" t="n">
        <f aca="false">Inputs!$C$6*E7 + Inputs!$C$7*F7 + Inputs!$C$8*G7</f>
        <v>0.63775</v>
      </c>
      <c r="I7" s="17" t="n">
        <f aca="false">1/H7</f>
        <v>1.56801254410035</v>
      </c>
      <c r="J7" s="18" t="n">
        <v>-115</v>
      </c>
      <c r="K7" s="16" t="n">
        <f aca="false">IF(J7&lt;0, -J7/(-J7+100), 100/(J7+100))</f>
        <v>0.534883720930233</v>
      </c>
      <c r="L7" s="16" t="n">
        <f aca="false">H7-K7</f>
        <v>0.102866279069768</v>
      </c>
      <c r="M7" s="19" t="str">
        <f aca="false">IF(L7&gt;=0.03,"YES",IF(L7&gt;=0,"LEAN","PASS"))</f>
        <v>YES</v>
      </c>
    </row>
    <row r="8" customFormat="false" ht="15" hidden="false" customHeight="false" outlineLevel="0" collapsed="false">
      <c r="B8" s="11" t="n">
        <v>2</v>
      </c>
      <c r="C8" s="11" t="str">
        <f aca="false">Inputs!C15</f>
        <v>LAD</v>
      </c>
      <c r="D8" s="11" t="str">
        <f aca="false">Inputs!D15</f>
        <v>SF</v>
      </c>
      <c r="E8" s="16" t="n">
        <f aca="false">AVERAGE(Inputs!F15,Inputs!H15)</f>
        <v>0.725</v>
      </c>
      <c r="F8" s="16" t="n">
        <f aca="false">1-AVERAGE(Inputs!I15,Inputs!J15)</f>
        <v>0.63</v>
      </c>
      <c r="G8" s="16" t="n">
        <f aca="false">Inputs!$C$5/Inputs!L15</f>
        <v>0.635869565217391</v>
      </c>
      <c r="H8" s="16" t="n">
        <f aca="false">Inputs!$C$6*E8 + Inputs!$C$7*F8 + Inputs!$C$8*G8</f>
        <v>0.678380434782609</v>
      </c>
      <c r="I8" s="17" t="n">
        <f aca="false">1/H8</f>
        <v>1.47409911714281</v>
      </c>
      <c r="J8" s="18" t="n">
        <v>-125</v>
      </c>
      <c r="K8" s="16" t="n">
        <f aca="false">IF(J8&lt;0, -J8/(-J8+100), 100/(J8+100))</f>
        <v>0.555555555555556</v>
      </c>
      <c r="L8" s="16" t="n">
        <f aca="false">H8-K8</f>
        <v>0.122824879227053</v>
      </c>
      <c r="M8" s="19" t="str">
        <f aca="false">IF(L8&gt;=0.03,"YES",IF(L8&gt;=0,"LEAN","PASS"))</f>
        <v>YES</v>
      </c>
    </row>
    <row r="9" customFormat="false" ht="15" hidden="false" customHeight="false" outlineLevel="0" collapsed="false">
      <c r="B9" s="11" t="n">
        <v>3</v>
      </c>
      <c r="C9" s="11" t="str">
        <f aca="false">Inputs!C16</f>
        <v>HOU</v>
      </c>
      <c r="D9" s="11" t="str">
        <f aca="false">Inputs!D16</f>
        <v>TEX</v>
      </c>
      <c r="E9" s="16" t="n">
        <f aca="false">AVERAGE(Inputs!F16,Inputs!H16)</f>
        <v>0.735</v>
      </c>
      <c r="F9" s="16" t="n">
        <f aca="false">1-AVERAGE(Inputs!I16,Inputs!J16)</f>
        <v>0.6</v>
      </c>
      <c r="G9" s="16" t="n">
        <f aca="false">Inputs!$C$5/Inputs!L16</f>
        <v>0.5625</v>
      </c>
      <c r="H9" s="16" t="n">
        <f aca="false">Inputs!$C$6*E9 + Inputs!$C$7*F9 + Inputs!$C$8*G9</f>
        <v>0.661875</v>
      </c>
      <c r="I9" s="17" t="n">
        <f aca="false">1/H9</f>
        <v>1.51085930122757</v>
      </c>
      <c r="J9" s="18" t="n">
        <v>-130</v>
      </c>
      <c r="K9" s="16" t="n">
        <f aca="false">IF(J9&lt;0, -J9/(-J9+100), 100/(J9+100))</f>
        <v>0.565217391304348</v>
      </c>
      <c r="L9" s="16" t="n">
        <f aca="false">H9-K9</f>
        <v>0.0966576086956522</v>
      </c>
      <c r="M9" s="19" t="str">
        <f aca="false">IF(L9&gt;=0.03,"YES",IF(L9&gt;=0,"LEAN","PASS"))</f>
        <v>YES</v>
      </c>
    </row>
    <row r="10" customFormat="false" ht="15" hidden="false" customHeight="false" outlineLevel="0" collapsed="false">
      <c r="B10" s="11" t="n">
        <v>4</v>
      </c>
      <c r="C10" s="11" t="str">
        <f aca="false">Inputs!C17</f>
        <v>PHI</v>
      </c>
      <c r="D10" s="11" t="str">
        <f aca="false">Inputs!D17</f>
        <v>ATL</v>
      </c>
      <c r="E10" s="16" t="n">
        <f aca="false">AVERAGE(Inputs!F17,Inputs!H17)</f>
        <v>0.73</v>
      </c>
      <c r="F10" s="16" t="n">
        <f aca="false">1-AVERAGE(Inputs!I17,Inputs!J17)</f>
        <v>0.59</v>
      </c>
      <c r="G10" s="16" t="n">
        <f aca="false">Inputs!$C$5/Inputs!L17</f>
        <v>0.55188679245283</v>
      </c>
      <c r="H10" s="16" t="n">
        <f aca="false">Inputs!$C$6*E10 + Inputs!$C$7*F10 + Inputs!$C$8*G10</f>
        <v>0.654283018867925</v>
      </c>
      <c r="I10" s="17" t="n">
        <f aca="false">1/H10</f>
        <v>1.52839057588603</v>
      </c>
      <c r="J10" s="18" t="n">
        <v>-140</v>
      </c>
      <c r="K10" s="16" t="n">
        <f aca="false">IF(J10&lt;0, -J10/(-J10+100), 100/(J10+100))</f>
        <v>0.583333333333333</v>
      </c>
      <c r="L10" s="16" t="n">
        <f aca="false">H10-K10</f>
        <v>0.0709496855345911</v>
      </c>
      <c r="M10" s="19" t="str">
        <f aca="false">IF(L10&gt;=0.03,"YES",IF(L10&gt;=0,"LEAN","PASS"))</f>
        <v>YES</v>
      </c>
    </row>
    <row r="11" customFormat="false" ht="15" hidden="false" customHeight="false" outlineLevel="0" collapsed="false">
      <c r="B11" s="11" t="n">
        <v>5</v>
      </c>
      <c r="C11" s="11" t="str">
        <f aca="false">Inputs!C18</f>
        <v>MIL</v>
      </c>
      <c r="D11" s="11" t="str">
        <f aca="false">Inputs!D18</f>
        <v>CHC</v>
      </c>
      <c r="E11" s="16" t="n">
        <f aca="false">AVERAGE(Inputs!F18,Inputs!H18)</f>
        <v>0.675</v>
      </c>
      <c r="F11" s="16" t="n">
        <f aca="false">1-AVERAGE(Inputs!I18,Inputs!J18)</f>
        <v>0.61</v>
      </c>
      <c r="G11" s="16" t="n">
        <f aca="false">Inputs!$C$5/Inputs!L18</f>
        <v>0.573529411764706</v>
      </c>
      <c r="H11" s="16" t="n">
        <f aca="false">Inputs!$C$6*E11 + Inputs!$C$7*F11 + Inputs!$C$8*G11</f>
        <v>0.637029411764706</v>
      </c>
      <c r="I11" s="17" t="n">
        <f aca="false">1/H11</f>
        <v>1.56978623205134</v>
      </c>
      <c r="J11" s="18" t="n">
        <v>-110</v>
      </c>
      <c r="K11" s="16" t="n">
        <f aca="false">IF(J11&lt;0, -J11/(-J11+100), 100/(J11+100))</f>
        <v>0.523809523809524</v>
      </c>
      <c r="L11" s="16" t="n">
        <f aca="false">H11-K11</f>
        <v>0.113219887955182</v>
      </c>
      <c r="M11" s="19" t="str">
        <f aca="false">IF(L11&gt;=0.03,"YES",IF(L11&gt;=0,"LEAN","PASS"))</f>
        <v>YES</v>
      </c>
    </row>
    <row r="12" customFormat="false" ht="15" hidden="false" customHeight="false" outlineLevel="0" collapsed="false">
      <c r="B12" s="11" t="n">
        <v>6</v>
      </c>
      <c r="C12" s="11" t="str">
        <f aca="false">Inputs!C19</f>
        <v>SD</v>
      </c>
      <c r="D12" s="11" t="str">
        <f aca="false">Inputs!D19</f>
        <v>ARI</v>
      </c>
      <c r="E12" s="16" t="n">
        <f aca="false">AVERAGE(Inputs!F19,Inputs!H19)</f>
        <v>0.705</v>
      </c>
      <c r="F12" s="16" t="n">
        <f aca="false">1-AVERAGE(Inputs!I19,Inputs!J19)</f>
        <v>0.61</v>
      </c>
      <c r="G12" s="16" t="n">
        <f aca="false">Inputs!$C$5/Inputs!L19</f>
        <v>0.557142857142857</v>
      </c>
      <c r="H12" s="16" t="n">
        <f aca="false">Inputs!$C$6*E12 + Inputs!$C$7*F12 + Inputs!$C$8*G12</f>
        <v>0.649571428571429</v>
      </c>
      <c r="I12" s="17" t="n">
        <f aca="false">1/H12</f>
        <v>1.53947657796349</v>
      </c>
      <c r="J12" s="18" t="n">
        <v>-120</v>
      </c>
      <c r="K12" s="16" t="n">
        <f aca="false">IF(J12&lt;0, -J12/(-J12+100), 100/(J12+100))</f>
        <v>0.545454545454545</v>
      </c>
      <c r="L12" s="16" t="n">
        <f aca="false">H12-K12</f>
        <v>0.104116883116883</v>
      </c>
      <c r="M12" s="19" t="str">
        <f aca="false">IF(L12&gt;=0.03,"YES",IF(L12&gt;=0,"LEAN","PASS"))</f>
        <v>YES</v>
      </c>
    </row>
    <row r="13" customFormat="false" ht="15" hidden="false" customHeight="false" outlineLevel="0" collapsed="false">
      <c r="B13" s="11" t="n">
        <v>7</v>
      </c>
      <c r="C13" s="11" t="str">
        <f aca="false">Inputs!C20</f>
        <v>TOR</v>
      </c>
      <c r="D13" s="11" t="str">
        <f aca="false">Inputs!D20</f>
        <v>BAL</v>
      </c>
      <c r="E13" s="16" t="n">
        <f aca="false">AVERAGE(Inputs!F20,Inputs!H20)</f>
        <v>0.71</v>
      </c>
      <c r="F13" s="16" t="n">
        <f aca="false">1-AVERAGE(Inputs!I20,Inputs!J20)</f>
        <v>0.59</v>
      </c>
      <c r="G13" s="16" t="n">
        <f aca="false">Inputs!$C$5/Inputs!L20</f>
        <v>0.546728971962617</v>
      </c>
      <c r="H13" s="16" t="n">
        <f aca="false">Inputs!$C$6*E13 + Inputs!$C$7*F13 + Inputs!$C$8*G13</f>
        <v>0.643509345794393</v>
      </c>
      <c r="I13" s="17" t="n">
        <f aca="false">1/H13</f>
        <v>1.55397898497578</v>
      </c>
      <c r="J13" s="18" t="n">
        <v>-135</v>
      </c>
      <c r="K13" s="16" t="n">
        <f aca="false">IF(J13&lt;0, -J13/(-J13+100), 100/(J13+100))</f>
        <v>0.574468085106383</v>
      </c>
      <c r="L13" s="16" t="n">
        <f aca="false">H13-K13</f>
        <v>0.0690412606880095</v>
      </c>
      <c r="M13" s="19" t="str">
        <f aca="false">IF(L13&gt;=0.03,"YES",IF(L13&gt;=0,"LEAN","PASS"))</f>
        <v>YES</v>
      </c>
    </row>
    <row r="14" customFormat="false" ht="15" hidden="false" customHeight="false" outlineLevel="0" collapsed="false">
      <c r="B14" s="11" t="n">
        <v>8</v>
      </c>
      <c r="C14" s="11" t="str">
        <f aca="false">Inputs!C21</f>
        <v>MIN</v>
      </c>
      <c r="D14" s="11" t="str">
        <f aca="false">Inputs!D21</f>
        <v>CLE</v>
      </c>
      <c r="E14" s="16" t="n">
        <f aca="false">AVERAGE(Inputs!F21,Inputs!H21)</f>
        <v>0.685</v>
      </c>
      <c r="F14" s="16" t="n">
        <f aca="false">1-AVERAGE(Inputs!I21,Inputs!J21)</f>
        <v>0.615</v>
      </c>
      <c r="G14" s="16" t="n">
        <f aca="false">Inputs!$C$5/Inputs!L21</f>
        <v>0.596938775510204</v>
      </c>
      <c r="H14" s="16" t="n">
        <f aca="false">Inputs!$C$6*E14 + Inputs!$C$7*F14 + Inputs!$C$8*G14</f>
        <v>0.647290816326531</v>
      </c>
      <c r="I14" s="17" t="n">
        <f aca="false">1/H14</f>
        <v>1.54490064554777</v>
      </c>
      <c r="J14" s="18" t="n">
        <v>-105</v>
      </c>
      <c r="K14" s="16" t="n">
        <f aca="false">IF(J14&lt;0, -J14/(-J14+100), 100/(J14+100))</f>
        <v>0.51219512195122</v>
      </c>
      <c r="L14" s="16" t="n">
        <f aca="false">H14-K14</f>
        <v>0.135095694375311</v>
      </c>
      <c r="M14" s="19" t="str">
        <f aca="false">IF(L14&gt;=0.03,"YES",IF(L14&gt;=0,"LEAN","PASS"))</f>
        <v>YES</v>
      </c>
    </row>
    <row r="15" customFormat="false" ht="15" hidden="false" customHeight="false" outlineLevel="0" collapsed="false">
      <c r="B15" s="11" t="n">
        <v>9</v>
      </c>
      <c r="C15" s="11" t="str">
        <f aca="false">Inputs!C22</f>
        <v>STL</v>
      </c>
      <c r="D15" s="11" t="str">
        <f aca="false">Inputs!D22</f>
        <v>CIN</v>
      </c>
      <c r="E15" s="16" t="n">
        <f aca="false">AVERAGE(Inputs!F22,Inputs!H22)</f>
        <v>0.67</v>
      </c>
      <c r="F15" s="16" t="n">
        <f aca="false">1-AVERAGE(Inputs!I22,Inputs!J22)</f>
        <v>0.575</v>
      </c>
      <c r="G15" s="16" t="n">
        <f aca="false">Inputs!$C$5/Inputs!L22</f>
        <v>0.522321428571429</v>
      </c>
      <c r="H15" s="16" t="n">
        <f aca="false">Inputs!$C$6*E15 + Inputs!$C$7*F15 + Inputs!$C$8*G15</f>
        <v>0.614598214285714</v>
      </c>
      <c r="I15" s="17" t="n">
        <f aca="false">1/H15</f>
        <v>1.62707924747585</v>
      </c>
      <c r="J15" s="18" t="n">
        <v>-125</v>
      </c>
      <c r="K15" s="16" t="n">
        <f aca="false">IF(J15&lt;0, -J15/(-J15+100), 100/(J15+100))</f>
        <v>0.555555555555556</v>
      </c>
      <c r="L15" s="16" t="n">
        <f aca="false">H15-K15</f>
        <v>0.0590426587301586</v>
      </c>
      <c r="M15" s="19" t="str">
        <f aca="false">IF(L15&gt;=0.03,"YES",IF(L15&gt;=0,"LEAN","PASS"))</f>
        <v>YES</v>
      </c>
    </row>
    <row r="16" customFormat="false" ht="15" hidden="false" customHeight="false" outlineLevel="0" collapsed="false">
      <c r="B16" s="11" t="n">
        <v>10</v>
      </c>
      <c r="C16" s="11" t="str">
        <f aca="false">Inputs!C23</f>
        <v>OAK</v>
      </c>
      <c r="D16" s="11" t="str">
        <f aca="false">Inputs!D23</f>
        <v>SEA</v>
      </c>
      <c r="E16" s="16" t="n">
        <f aca="false">AVERAGE(Inputs!F23,Inputs!H23)</f>
        <v>0.66</v>
      </c>
      <c r="F16" s="16" t="n">
        <f aca="false">1-AVERAGE(Inputs!I23,Inputs!J23)</f>
        <v>0.615</v>
      </c>
      <c r="G16" s="16" t="n">
        <f aca="false">Inputs!$C$5/Inputs!L23</f>
        <v>0.622340425531915</v>
      </c>
      <c r="H16" s="16" t="n">
        <f aca="false">Inputs!$C$6*E16 + Inputs!$C$7*F16 + Inputs!$C$8*G16</f>
        <v>0.638601063829787</v>
      </c>
      <c r="I16" s="17" t="n">
        <f aca="false">1/H16</f>
        <v>1.56592285331134</v>
      </c>
      <c r="J16" s="18" t="n">
        <v>-100</v>
      </c>
      <c r="K16" s="16" t="n">
        <f aca="false">IF(J16&lt;0, -J16/(-J16+100), 100/(J16+100))</f>
        <v>0.5</v>
      </c>
      <c r="L16" s="16" t="n">
        <f aca="false">H16-K16</f>
        <v>0.138601063829787</v>
      </c>
      <c r="M16" s="19" t="str">
        <f aca="false">IF(L16&gt;=0.03,"YES",IF(L16&gt;=0,"LEAN","PASS"))</f>
        <v>YES</v>
      </c>
    </row>
  </sheetData>
  <mergeCells count="1">
    <mergeCell ref="B4:K4"/>
  </mergeCells>
  <conditionalFormatting sqref="L7:L16">
    <cfRule type="colorScale" priority="2">
      <colorScale>
        <cfvo type="num" val="-0.1"/>
        <cfvo type="num" val="0"/>
        <cfvo type="num" val="0.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8" min="5" style="0" width="14"/>
  </cols>
  <sheetData>
    <row r="2" customFormat="false" ht="17.35" hidden="false" customHeight="false" outlineLevel="0" collapsed="false">
      <c r="B2" s="1" t="s">
        <v>100</v>
      </c>
    </row>
    <row r="3" customFormat="false" ht="15" hidden="false" customHeight="false" outlineLevel="0" collapsed="false">
      <c r="B3" s="8" t="s">
        <v>101</v>
      </c>
    </row>
    <row r="5" customFormat="false" ht="15" hidden="false" customHeight="false" outlineLevel="0" collapsed="false">
      <c r="B5" s="10" t="s">
        <v>88</v>
      </c>
      <c r="C5" s="10" t="s">
        <v>102</v>
      </c>
      <c r="D5" s="10" t="s">
        <v>94</v>
      </c>
      <c r="E5" s="10" t="s">
        <v>103</v>
      </c>
      <c r="F5" s="10" t="s">
        <v>104</v>
      </c>
      <c r="G5" s="10" t="s">
        <v>105</v>
      </c>
      <c r="H5" s="10" t="s">
        <v>106</v>
      </c>
    </row>
    <row r="6" customFormat="false" ht="15" hidden="false" customHeight="false" outlineLevel="0" collapsed="false">
      <c r="B6" s="11" t="n">
        <f aca="false">Model!B7</f>
        <v>1</v>
      </c>
      <c r="C6" s="11" t="str">
        <f aca="false">Model!C7&amp;" @ "&amp;Model!D7</f>
        <v>NYY @ BOS</v>
      </c>
      <c r="D6" s="16" t="n">
        <f aca="false">Model!H7</f>
        <v>0.63775</v>
      </c>
      <c r="E6" s="20" t="n">
        <f aca="false">Model!J7</f>
        <v>-115</v>
      </c>
      <c r="F6" s="12" t="n">
        <v>1</v>
      </c>
      <c r="G6" s="21" t="n">
        <f aca="false">IF(F6=1, D6, 1)</f>
        <v>0.63775</v>
      </c>
      <c r="H6" s="21" t="n">
        <f aca="false">IF(F6=1, IF(E6&lt;0, 1+100/(-E6), 1+E6/100), 1)</f>
        <v>1.8695652173913</v>
      </c>
    </row>
    <row r="7" customFormat="false" ht="15" hidden="false" customHeight="false" outlineLevel="0" collapsed="false">
      <c r="B7" s="11" t="n">
        <f aca="false">Model!B8</f>
        <v>2</v>
      </c>
      <c r="C7" s="11" t="str">
        <f aca="false">Model!C8&amp;" @ "&amp;Model!D8</f>
        <v>LAD @ SF</v>
      </c>
      <c r="D7" s="16" t="n">
        <f aca="false">Model!H8</f>
        <v>0.678380434782609</v>
      </c>
      <c r="E7" s="20" t="n">
        <f aca="false">Model!J8</f>
        <v>-125</v>
      </c>
      <c r="F7" s="12" t="n">
        <v>0</v>
      </c>
      <c r="G7" s="21" t="n">
        <f aca="false">IF(F7=1, D7, 1)</f>
        <v>1</v>
      </c>
      <c r="H7" s="21" t="n">
        <f aca="false">IF(F7=1, IF(E7&lt;0, 1+100/(-E7), 1+E7/100), 1)</f>
        <v>1</v>
      </c>
    </row>
    <row r="8" customFormat="false" ht="15" hidden="false" customHeight="false" outlineLevel="0" collapsed="false">
      <c r="B8" s="11" t="n">
        <f aca="false">Model!B9</f>
        <v>3</v>
      </c>
      <c r="C8" s="11" t="str">
        <f aca="false">Model!C9&amp;" @ "&amp;Model!D9</f>
        <v>HOU @ TEX</v>
      </c>
      <c r="D8" s="16" t="n">
        <f aca="false">Model!H9</f>
        <v>0.661875</v>
      </c>
      <c r="E8" s="20" t="n">
        <f aca="false">Model!J9</f>
        <v>-130</v>
      </c>
      <c r="F8" s="12" t="n">
        <v>1</v>
      </c>
      <c r="G8" s="21" t="n">
        <f aca="false">IF(F8=1, D8, 1)</f>
        <v>0.661875</v>
      </c>
      <c r="H8" s="21" t="n">
        <f aca="false">IF(F8=1, IF(E8&lt;0, 1+100/(-E8), 1+E8/100), 1)</f>
        <v>1.76923076923077</v>
      </c>
    </row>
    <row r="9" customFormat="false" ht="15" hidden="false" customHeight="false" outlineLevel="0" collapsed="false">
      <c r="B9" s="11" t="n">
        <f aca="false">Model!B10</f>
        <v>4</v>
      </c>
      <c r="C9" s="11" t="str">
        <f aca="false">Model!C10&amp;" @ "&amp;Model!D10</f>
        <v>PHI @ ATL</v>
      </c>
      <c r="D9" s="16" t="n">
        <f aca="false">Model!H10</f>
        <v>0.654283018867925</v>
      </c>
      <c r="E9" s="20" t="n">
        <f aca="false">Model!J10</f>
        <v>-140</v>
      </c>
      <c r="F9" s="12" t="n">
        <v>1</v>
      </c>
      <c r="G9" s="21" t="n">
        <f aca="false">IF(F9=1, D9, 1)</f>
        <v>0.654283018867925</v>
      </c>
      <c r="H9" s="21" t="n">
        <f aca="false">IF(F9=1, IF(E9&lt;0, 1+100/(-E9), 1+E9/100), 1)</f>
        <v>1.71428571428571</v>
      </c>
    </row>
    <row r="10" customFormat="false" ht="15" hidden="false" customHeight="false" outlineLevel="0" collapsed="false">
      <c r="B10" s="11" t="n">
        <f aca="false">Model!B11</f>
        <v>5</v>
      </c>
      <c r="C10" s="11" t="str">
        <f aca="false">Model!C11&amp;" @ "&amp;Model!D11</f>
        <v>MIL @ CHC</v>
      </c>
      <c r="D10" s="16" t="n">
        <f aca="false">Model!H11</f>
        <v>0.637029411764706</v>
      </c>
      <c r="E10" s="20" t="n">
        <f aca="false">Model!J11</f>
        <v>-110</v>
      </c>
      <c r="F10" s="12" t="n">
        <v>0</v>
      </c>
      <c r="G10" s="21" t="n">
        <f aca="false">IF(F10=1, D10, 1)</f>
        <v>1</v>
      </c>
      <c r="H10" s="21" t="n">
        <f aca="false">IF(F10=1, IF(E10&lt;0, 1+100/(-E10), 1+E10/100), 1)</f>
        <v>1</v>
      </c>
    </row>
    <row r="11" customFormat="false" ht="15" hidden="false" customHeight="false" outlineLevel="0" collapsed="false">
      <c r="B11" s="11" t="n">
        <f aca="false">Model!B12</f>
        <v>6</v>
      </c>
      <c r="C11" s="11" t="str">
        <f aca="false">Model!C12&amp;" @ "&amp;Model!D12</f>
        <v>SD @ ARI</v>
      </c>
      <c r="D11" s="16" t="n">
        <f aca="false">Model!H12</f>
        <v>0.649571428571429</v>
      </c>
      <c r="E11" s="20" t="n">
        <f aca="false">Model!J12</f>
        <v>-120</v>
      </c>
      <c r="F11" s="12" t="n">
        <v>0</v>
      </c>
      <c r="G11" s="21" t="n">
        <f aca="false">IF(F11=1, D11, 1)</f>
        <v>1</v>
      </c>
      <c r="H11" s="21" t="n">
        <f aca="false">IF(F11=1, IF(E11&lt;0, 1+100/(-E11), 1+E11/100), 1)</f>
        <v>1</v>
      </c>
    </row>
    <row r="12" customFormat="false" ht="15" hidden="false" customHeight="false" outlineLevel="0" collapsed="false">
      <c r="B12" s="11" t="n">
        <f aca="false">Model!B13</f>
        <v>7</v>
      </c>
      <c r="C12" s="11" t="str">
        <f aca="false">Model!C13&amp;" @ "&amp;Model!D13</f>
        <v>TOR @ BAL</v>
      </c>
      <c r="D12" s="16" t="n">
        <f aca="false">Model!H13</f>
        <v>0.643509345794393</v>
      </c>
      <c r="E12" s="20" t="n">
        <f aca="false">Model!J13</f>
        <v>-135</v>
      </c>
      <c r="F12" s="12" t="n">
        <v>1</v>
      </c>
      <c r="G12" s="21" t="n">
        <f aca="false">IF(F12=1, D12, 1)</f>
        <v>0.643509345794393</v>
      </c>
      <c r="H12" s="21" t="n">
        <f aca="false">IF(F12=1, IF(E12&lt;0, 1+100/(-E12), 1+E12/100), 1)</f>
        <v>1.74074074074074</v>
      </c>
    </row>
    <row r="13" customFormat="false" ht="15" hidden="false" customHeight="false" outlineLevel="0" collapsed="false">
      <c r="B13" s="11" t="n">
        <f aca="false">Model!B14</f>
        <v>8</v>
      </c>
      <c r="C13" s="11" t="str">
        <f aca="false">Model!C14&amp;" @ "&amp;Model!D14</f>
        <v>MIN @ CLE</v>
      </c>
      <c r="D13" s="16" t="n">
        <f aca="false">Model!H14</f>
        <v>0.647290816326531</v>
      </c>
      <c r="E13" s="20" t="n">
        <f aca="false">Model!J14</f>
        <v>-105</v>
      </c>
      <c r="F13" s="12" t="n">
        <v>0</v>
      </c>
      <c r="G13" s="21" t="n">
        <f aca="false">IF(F13=1, D13, 1)</f>
        <v>1</v>
      </c>
      <c r="H13" s="21" t="n">
        <f aca="false">IF(F13=1, IF(E13&lt;0, 1+100/(-E13), 1+E13/100), 1)</f>
        <v>1</v>
      </c>
    </row>
    <row r="14" customFormat="false" ht="15" hidden="false" customHeight="false" outlineLevel="0" collapsed="false">
      <c r="B14" s="11" t="n">
        <f aca="false">Model!B15</f>
        <v>9</v>
      </c>
      <c r="C14" s="11" t="str">
        <f aca="false">Model!C15&amp;" @ "&amp;Model!D15</f>
        <v>STL @ CIN</v>
      </c>
      <c r="D14" s="16" t="n">
        <f aca="false">Model!H15</f>
        <v>0.614598214285714</v>
      </c>
      <c r="E14" s="20" t="n">
        <f aca="false">Model!J15</f>
        <v>-125</v>
      </c>
      <c r="F14" s="12" t="n">
        <v>1</v>
      </c>
      <c r="G14" s="21" t="n">
        <f aca="false">IF(F14=1, D14, 1)</f>
        <v>0.614598214285714</v>
      </c>
      <c r="H14" s="21" t="n">
        <f aca="false">IF(F14=1, IF(E14&lt;0, 1+100/(-E14), 1+E14/100), 1)</f>
        <v>1.8</v>
      </c>
    </row>
    <row r="15" customFormat="false" ht="15" hidden="false" customHeight="false" outlineLevel="0" collapsed="false">
      <c r="B15" s="11" t="n">
        <f aca="false">Model!B16</f>
        <v>10</v>
      </c>
      <c r="C15" s="11" t="str">
        <f aca="false">Model!C16&amp;" @ "&amp;Model!D16</f>
        <v>OAK @ SEA</v>
      </c>
      <c r="D15" s="16" t="n">
        <f aca="false">Model!H16</f>
        <v>0.638601063829787</v>
      </c>
      <c r="E15" s="20" t="n">
        <f aca="false">Model!J16</f>
        <v>-100</v>
      </c>
      <c r="F15" s="12" t="n">
        <v>0</v>
      </c>
      <c r="G15" s="21" t="n">
        <f aca="false">IF(F15=1, D15, 1)</f>
        <v>1</v>
      </c>
      <c r="H15" s="21" t="n">
        <f aca="false">IF(F15=1, IF(E15&lt;0, 1+100/(-E15), 1+E15/100), 1)</f>
        <v>1</v>
      </c>
    </row>
    <row r="17" customFormat="false" ht="15" hidden="false" customHeight="false" outlineLevel="0" collapsed="false">
      <c r="B17" s="5" t="s">
        <v>107</v>
      </c>
    </row>
    <row r="18" customFormat="false" ht="15" hidden="false" customHeight="false" outlineLevel="0" collapsed="false">
      <c r="B18" s="0" t="s">
        <v>108</v>
      </c>
      <c r="C18" s="22" t="n">
        <f aca="false">SUM(F6:F15)</f>
        <v>5</v>
      </c>
    </row>
    <row r="19" customFormat="false" ht="15" hidden="false" customHeight="false" outlineLevel="0" collapsed="false">
      <c r="B19" s="0" t="s">
        <v>109</v>
      </c>
      <c r="C19" s="23" t="n">
        <f aca="false">PRODUCT(G6:G15)</f>
        <v>0.109229072588318</v>
      </c>
    </row>
    <row r="20" customFormat="false" ht="15" hidden="false" customHeight="false" outlineLevel="0" collapsed="false">
      <c r="B20" s="0" t="s">
        <v>110</v>
      </c>
      <c r="C20" s="24" t="n">
        <f aca="false">PRODUCT(H6:H15)</f>
        <v>17.767032967033</v>
      </c>
    </row>
    <row r="21" customFormat="false" ht="15" hidden="false" customHeight="false" outlineLevel="0" collapsed="false">
      <c r="B21" s="0" t="s">
        <v>111</v>
      </c>
      <c r="C21" s="25" t="n">
        <v>100</v>
      </c>
    </row>
    <row r="22" customFormat="false" ht="15" hidden="false" customHeight="false" outlineLevel="0" collapsed="false">
      <c r="B22" s="0" t="s">
        <v>112</v>
      </c>
      <c r="C22" s="26" t="n">
        <f aca="false">C21*C20</f>
        <v>1776.7032967033</v>
      </c>
    </row>
    <row r="23" customFormat="false" ht="15" hidden="false" customHeight="false" outlineLevel="0" collapsed="false">
      <c r="B23" s="0" t="s">
        <v>113</v>
      </c>
      <c r="C23" s="27" t="n">
        <f aca="false">C19*(C22-C21) + (1-C19)*(-C21)</f>
        <v>94.0676533635078</v>
      </c>
    </row>
    <row r="24" customFormat="false" ht="15" hidden="false" customHeight="false" outlineLevel="0" collapsed="false">
      <c r="B24" s="0" t="s">
        <v>114</v>
      </c>
      <c r="C24" s="28" t="n">
        <f aca="false">C23/C21</f>
        <v>0.940676533635078</v>
      </c>
    </row>
    <row r="26" customFormat="false" ht="15" hidden="false" customHeight="false" outlineLevel="0" collapsed="false">
      <c r="B26" s="15" t="s">
        <v>115</v>
      </c>
      <c r="C26" s="15"/>
      <c r="D26" s="15"/>
      <c r="E26" s="15"/>
      <c r="F26" s="15"/>
    </row>
  </sheetData>
  <mergeCells count="1"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2026-05-19T03:35:28Z</dcterms:created>
  <dc:creator>openpyxl</dc:creator>
  <dc:description/>
  <dc:language>en-US</dc:language>
  <cp:lastModifiedBy/>
  <dcterms:modified xsi:type="dcterms:W3CDTF">2026-05-19T03:35:28Z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